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价清单" sheetId="1" r:id="rId1"/>
    <sheet name="编制说明" sheetId="2" r:id="rId2"/>
    <sheet name="BIM清单摘录" sheetId="3" r:id="rId3"/>
    <sheet name="总平面图参考" sheetId="4" r:id="rId4"/>
  </sheets>
  <definedNames>
    <definedName name="_xlnm._FilterDatabase" localSheetId="0" hidden="1">报价清单!$A$5:$H$15</definedName>
  </definedNames>
  <calcPr calcId="124519" fullCalcOnLoad="1"/>
</workbook>
</file>

<file path=xl/sharedStrings.xml><?xml version="1.0" encoding="utf-8"?>
<sst xmlns="http://schemas.openxmlformats.org/spreadsheetml/2006/main" count="116" uniqueCount="81">
  <si>
    <t>BIM应用服务报价清单</t>
  </si>
  <si>
    <t>编制依据：BIM清单.docx、总平面图.pdf；报价控制目标：不超过人民币80,000元</t>
  </si>
  <si>
    <t>单位：元；暂按含税综合价编制，最终以合同约定为准。</t>
  </si>
  <si>
    <t>序号</t>
  </si>
  <si>
    <t>分部分项工程/服务名称</t>
  </si>
  <si>
    <t>技术规格、服务内容</t>
  </si>
  <si>
    <t>单位</t>
  </si>
  <si>
    <t>数量/周期</t>
  </si>
  <si>
    <t>综合单价</t>
  </si>
  <si>
    <t>合价</t>
  </si>
  <si>
    <t>备注</t>
  </si>
  <si>
    <t>主体及附属结构三维模型（LOD400）</t>
  </si>
  <si>
    <t>1.立交BIM施工深化模型。2.细化模型粒度、补充编码等属性信息。3.满足发包人BIM平台的数据需要。</t>
  </si>
  <si>
    <t>项</t>
  </si>
  <si>
    <t>按总平面图范围内主线、匝道、桥梁/结构及附属设施建模，满足BIM平台数据属性要求。</t>
  </si>
  <si>
    <t>施工进度模型更新及竣工模型交付（LOD400）</t>
  </si>
  <si>
    <t>1.竣工模型与现场一致；2.竣工模型包含路基、结构、桥梁、建筑等专业的全线竣工模型；3.相关资料进行数字化交付。</t>
  </si>
  <si>
    <t>按阶段资料更新，交付竣工模型及数字化资料包。</t>
  </si>
  <si>
    <t>临建布置及动态场地布置</t>
  </si>
  <si>
    <t>通过BIM场布模块，建立施工场地布置模型，提前规划现场生产设施、施工区域、施工通道、临时水电、安全文明标识、现场办公及生活区域、施工临边防护、外防脚手架等防护设施的布置，通过场景漫游，提前发现安全隐患或者事故易发点，减少不安全因素，从而实现基于BIM模型的安全管理。</t>
  </si>
  <si>
    <t>结合总平面图施工场地、通道、临水临电、安全文明及防护设施布置。</t>
  </si>
  <si>
    <t>危大工程专项方案模拟</t>
  </si>
  <si>
    <t>针对危大工程（深基坑、钢箱梁安装、现浇箱梁支架、暗挖隧道）安全专项方案模拟，验证方案的可行性，同时对方案进行合理优化。规范和协助各施工方合理组织施工，并进行可视化技术交底，从而进行有效的施工专项管理。</t>
  </si>
  <si>
    <t>按项目需求选做1项危大工程专项方案模拟。</t>
  </si>
  <si>
    <t>交通导改模拟</t>
  </si>
  <si>
    <t>利用BIM技术进行交通导改模拟，将空间与时间进行联立，对导改各工况进行模拟，优化施工方案。</t>
  </si>
  <si>
    <t>围绕主线、匝道及节点交通组织分阶段模拟。</t>
  </si>
  <si>
    <t>工程进度模拟</t>
  </si>
  <si>
    <t>基于设计单位提供的设计阶段的BIM模型、施工场地模型和相关的周边环境模型，结合施工组织设计、应用实施方案等，根据工程施工进度计划，开展基于BIM的施工进度模拟，便于发包人和项目部对施工进度的理解和掌握。</t>
  </si>
  <si>
    <t>结合施工计划开展4D进度展示。</t>
  </si>
  <si>
    <t>倾斜摄影模型</t>
  </si>
  <si>
    <t>1、基于计算机视觉原理进行高精度三维重建的航空遥感技术。用无人机从垂直、倾斜等多个视角获取高重叠度的影像序列，通过空三加密、密集匹配与纹理映射，自动化生成具有真实纹理、可量测、高精度的实景三维模型；
2、相对航高不超过300m，航摄精度GSD为≤8cm；
3、航摄线位航带参数设置需满足成果精度要求，航向重叠率80%以上，旁向重叠率75%以上. 
4、外业像控点每平方公里布设不得少于4个，相邻图幅公共像控点不少于2个；
5、航飞POS差分解算应满足要求且质量合格，PDOP差分数值2以内，HRMS、VRMS≤0.1；
6、分段模型计算建模时需统一使用同一切块原点坐标和分块原点坐标，所有分块需保持统一分块尺寸；
7、模型坐标信息、投影信息、外业像控点坐标信息、投影信息应与平台方商定统一。</t>
  </si>
  <si>
    <t>预算控制版：按现有/单次采集数据处理，空域、外业像控及超范围航测费用另计。</t>
  </si>
  <si>
    <t>BIM＋GIS实景融合</t>
  </si>
  <si>
    <t>采用高渲平台（UE5）进行BIM技术与无人机倾斜摄影技术融合，构建BIM＋GIS实景融合场景（包含场景搭建、环境设置、灯光布置、场景特效制作），最终在场地规划布置、三维可视化交底、施工进度管理等方面进行应用。</t>
  </si>
  <si>
    <t>轻量化融合场景，支持场布、交底、进度展示。</t>
  </si>
  <si>
    <t>数字沙盘</t>
  </si>
  <si>
    <t>1.通过UE引擎，完成高性能数字沙盘，整合倾斜摄影（根据空域申请相关，如不进行倾斜摄影，则考虑叠加地图）、BIM模型及GIS地图、全景影像等进行叠加，实现高质量渲染和功能交互，用于指挥中心展示。包含质量、进度、安全等功能，实现三维实景进度对比与管理。
2.主要包含工程信息概况、项目重难点、进度模拟、施工方案展示、主要交通组织情况（2-3个节段）、实景影像数据等。
3.采用的交互形式包含模型查看、模型作色、点位绑定、视点切换等；
4.平台使用安排专人进行孪生程序进行使用培训，培训次数不低于3次；
5.更新：</t>
  </si>
  <si>
    <t>轻量展示版，包含工程概况、重点工况、视点切换和模型查看。</t>
  </si>
  <si>
    <t>BIM工程师驻场/项目配合服务（月报制）</t>
  </si>
  <si>
    <t>BIM工程师现场跟踪、月度进度配合、模型问题协调、资料整理、培训支持；按36个月*人暂估计入。</t>
  </si>
  <si>
    <t>月</t>
  </si>
  <si>
    <t>预算口径为月度跟踪与关键节点配合，不等同于36个月全职驻场。</t>
  </si>
  <si>
    <t>报价合计</t>
  </si>
  <si>
    <t>控制在80,000元以内</t>
  </si>
  <si>
    <t>人民币大写：柒万玖仟捌佰元整（小写：¥79,800.00）</t>
  </si>
  <si>
    <t>说明：本报价为预算控制版。若需完整UE数字孪生平台、多期航飞、超出总平面图范围的建模、36个月全职驻场或合同外专项模拟，费用另行协商。</t>
  </si>
  <si>
    <t>编制说明与边界条件</t>
  </si>
  <si>
    <t>项目判断</t>
  </si>
  <si>
    <t>总平面图显示为道路立交/匝道节点工程，报价范围按图示主线、匝道、桥梁/结构及附属设施相关BIM应用服务暂估。</t>
  </si>
  <si>
    <t>编制依据</t>
  </si>
  <si>
    <t>1. BIM清单.docx 中的BIM应用工程量清单；
2. 总平面图.pdf 中的道路、匝道、节点及施工范围信息；
3. 总价不超过80,000元的控制要求。</t>
  </si>
  <si>
    <t>报价口径</t>
  </si>
  <si>
    <t>本表为预算控制版综合报价，暂按含税综合价编制。数量为暂估，后续可按最终合同范围、模型深度、交付频次和现场服务强度调整。</t>
  </si>
  <si>
    <t>驻场口径</t>
  </si>
  <si>
    <t>驻场/项目配合服务按36个月月报制暂估，单价600元/月，主要覆盖月度跟踪、问题协调、关键节点线上/现场配合及月报资料整理；不按36个月全职驻场人员成本计价。</t>
  </si>
  <si>
    <t>成果交付</t>
  </si>
  <si>
    <t>LOD400施工深化模型、阶段进度/竣工模型、场布模型、危大方案模拟成果、交通导改模拟、4D进度模拟、倾斜摄影模型处理成果、BIM+GIS轻量融合场景、数字沙盘轻量展示文件及月度服务记录。</t>
  </si>
  <si>
    <t>不含内容</t>
  </si>
  <si>
    <t>空域审批及第三方测绘费用、多期无人机航飞、完整UE定制孪生平台开发、硬件设备、常驻全职人员工资、重大设计变更导致的重复建模、合同范围外专项方案模拟。</t>
  </si>
  <si>
    <t>付款建议</t>
  </si>
  <si>
    <t>建议按合同签订30%、模型初版提交30%、主要应用成果提交30%、竣工/资料移交10%的节点执行，可根据甲方流程调整。</t>
  </si>
  <si>
    <t>BIM清单.docx 摘录</t>
  </si>
  <si>
    <t>分部分项工程名称材料及部位说明</t>
  </si>
  <si>
    <t>价格（元）</t>
  </si>
  <si>
    <t>1</t>
  </si>
  <si>
    <t>主体及附属结构三维模型（LOD400）。</t>
  </si>
  <si>
    <t>2</t>
  </si>
  <si>
    <t>根据施工现场进度模型每周进行更新，直到项目竣工交付竣工模型（LOD400）。</t>
  </si>
  <si>
    <t>3</t>
  </si>
  <si>
    <t>4</t>
  </si>
  <si>
    <t>根据项目需求只做一个</t>
  </si>
  <si>
    <t>5</t>
  </si>
  <si>
    <t>6</t>
  </si>
  <si>
    <t>7</t>
  </si>
  <si>
    <t>8</t>
  </si>
  <si>
    <t>9</t>
  </si>
  <si>
    <t>可能需要BIM工程师驻场，需要把把费用计算进去，按月报</t>
  </si>
  <si>
    <t>说明：1、派驻BIM工程师到现场跟踪服务（暂定36个月*人），配合项目部开展BIM相关工作，相关费用包含在以上清单中。
2、建立专职BIM团队，设BIM负责人1人，BIM专业人员不少于3人，负责人具有高级及以上技术职称，专业人员具有中级及以上技术职称。
3、组织项目总包方参与人员进行BIM技术应用培训和项目BIM应用体系培训，不少于300小时，相关费用包含在以上清单中。</t>
  </si>
  <si>
    <t>总平面图.pdf 参考图</t>
  </si>
  <si>
    <t>PDF为矢量图纸，文字不可直接提取；下图为第一页渲染图，仅用于报价范围判断。</t>
  </si>
</sst>
</file>

<file path=xl/styles.xml><?xml version="1.0" encoding="utf-8"?>
<styleSheet xmlns="http://schemas.openxmlformats.org/spreadsheetml/2006/main">
  <numFmts count="1">
    <numFmt numFmtId="164" formatCode="#,##0.00"/>
  </numFmts>
  <fonts count="6">
    <font>
      <sz val="11"/>
      <color theme="1"/>
      <name val="Calibri"/>
      <family val="2"/>
      <scheme val="minor"/>
    </font>
    <font>
      <b/>
      <sz val="18"/>
      <color theme="1"/>
      <name val="Microsoft YaHei"/>
      <family val="2"/>
    </font>
    <font>
      <sz val="10"/>
      <color rgb="FF666666"/>
      <name val="Microsoft YaHei"/>
      <family val="2"/>
    </font>
    <font>
      <b/>
      <sz val="10"/>
      <color theme="1"/>
      <name val="Microsoft YaHei"/>
      <family val="2"/>
    </font>
    <font>
      <sz val="10"/>
      <color theme="1"/>
      <name val="Microsoft YaHei"/>
      <family val="2"/>
    </font>
    <font>
      <b/>
      <sz val="11"/>
      <color theme="1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5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325346</xdr:colOff>
      <xdr:row>54</xdr:row>
      <xdr:rowOff>144500</xdr:rowOff>
    </xdr:to>
    <xdr:pic>
      <xdr:nvPicPr>
        <xdr:cNvPr id="2" name="Picture 1" descr="site_plan_p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3936571" cy="98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7.7109375" customWidth="1"/>
    <col min="2" max="2" width="24.7109375" customWidth="1"/>
    <col min="3" max="3" width="58.7109375" customWidth="1"/>
    <col min="4" max="4" width="8.7109375" customWidth="1"/>
    <col min="5" max="5" width="10.7109375" customWidth="1"/>
    <col min="6" max="7" width="12.7109375" customWidth="1"/>
    <col min="8" max="8" width="38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2" t="s">
        <v>2</v>
      </c>
      <c r="B3" s="2"/>
      <c r="C3" s="2"/>
      <c r="D3" s="2"/>
      <c r="E3" s="2"/>
      <c r="F3" s="2"/>
      <c r="G3" s="2"/>
      <c r="H3" s="2"/>
    </row>
    <row r="5" spans="1: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ht="78" customHeight="1">
      <c r="A6" s="4">
        <v>1</v>
      </c>
      <c r="B6" s="5" t="s">
        <v>11</v>
      </c>
      <c r="C6" s="5" t="s">
        <v>12</v>
      </c>
      <c r="D6" s="4" t="s">
        <v>13</v>
      </c>
      <c r="E6" s="4">
        <v>1</v>
      </c>
      <c r="F6" s="6">
        <v>14500</v>
      </c>
      <c r="G6" s="6">
        <f>E6*F6</f>
        <v>14500</v>
      </c>
      <c r="H6" s="5" t="s">
        <v>14</v>
      </c>
    </row>
    <row r="7" spans="1:8" ht="78" customHeight="1">
      <c r="A7" s="4">
        <v>2</v>
      </c>
      <c r="B7" s="5" t="s">
        <v>15</v>
      </c>
      <c r="C7" s="5" t="s">
        <v>16</v>
      </c>
      <c r="D7" s="4" t="s">
        <v>13</v>
      </c>
      <c r="E7" s="4">
        <v>1</v>
      </c>
      <c r="F7" s="6">
        <v>7200</v>
      </c>
      <c r="G7" s="6">
        <f>E7*F7</f>
        <v>7200</v>
      </c>
      <c r="H7" s="5" t="s">
        <v>17</v>
      </c>
    </row>
    <row r="8" spans="1:8" ht="78" customHeight="1">
      <c r="A8" s="4">
        <v>3</v>
      </c>
      <c r="B8" s="5" t="s">
        <v>18</v>
      </c>
      <c r="C8" s="5" t="s">
        <v>19</v>
      </c>
      <c r="D8" s="4" t="s">
        <v>13</v>
      </c>
      <c r="E8" s="4">
        <v>1</v>
      </c>
      <c r="F8" s="6">
        <v>6000</v>
      </c>
      <c r="G8" s="6">
        <f>E8*F8</f>
        <v>6000</v>
      </c>
      <c r="H8" s="5" t="s">
        <v>20</v>
      </c>
    </row>
    <row r="9" spans="1:8" ht="78" customHeight="1">
      <c r="A9" s="4">
        <v>4</v>
      </c>
      <c r="B9" s="5" t="s">
        <v>21</v>
      </c>
      <c r="C9" s="5" t="s">
        <v>22</v>
      </c>
      <c r="D9" s="4" t="s">
        <v>13</v>
      </c>
      <c r="E9" s="4">
        <v>1</v>
      </c>
      <c r="F9" s="6">
        <v>4800</v>
      </c>
      <c r="G9" s="6">
        <f>E9*F9</f>
        <v>4800</v>
      </c>
      <c r="H9" s="5" t="s">
        <v>23</v>
      </c>
    </row>
    <row r="10" spans="1:8" ht="78" customHeight="1">
      <c r="A10" s="4">
        <v>5</v>
      </c>
      <c r="B10" s="5" t="s">
        <v>24</v>
      </c>
      <c r="C10" s="5" t="s">
        <v>25</v>
      </c>
      <c r="D10" s="4" t="s">
        <v>13</v>
      </c>
      <c r="E10" s="4">
        <v>1</v>
      </c>
      <c r="F10" s="6">
        <v>4500</v>
      </c>
      <c r="G10" s="6">
        <f>E10*F10</f>
        <v>4500</v>
      </c>
      <c r="H10" s="5" t="s">
        <v>26</v>
      </c>
    </row>
    <row r="11" spans="1:8" ht="78" customHeight="1">
      <c r="A11" s="4">
        <v>6</v>
      </c>
      <c r="B11" s="5" t="s">
        <v>27</v>
      </c>
      <c r="C11" s="5" t="s">
        <v>28</v>
      </c>
      <c r="D11" s="4" t="s">
        <v>13</v>
      </c>
      <c r="E11" s="4">
        <v>1</v>
      </c>
      <c r="F11" s="6">
        <v>5800</v>
      </c>
      <c r="G11" s="6">
        <f>E11*F11</f>
        <v>5800</v>
      </c>
      <c r="H11" s="5" t="s">
        <v>29</v>
      </c>
    </row>
    <row r="12" spans="1:8" ht="78" customHeight="1">
      <c r="A12" s="4">
        <v>7</v>
      </c>
      <c r="B12" s="5" t="s">
        <v>30</v>
      </c>
      <c r="C12" s="5" t="s">
        <v>31</v>
      </c>
      <c r="D12" s="4" t="s">
        <v>13</v>
      </c>
      <c r="E12" s="4">
        <v>1</v>
      </c>
      <c r="F12" s="6">
        <v>5400</v>
      </c>
      <c r="G12" s="6">
        <f>E12*F12</f>
        <v>5400</v>
      </c>
      <c r="H12" s="5" t="s">
        <v>32</v>
      </c>
    </row>
    <row r="13" spans="1:8" ht="78" customHeight="1">
      <c r="A13" s="4">
        <v>8</v>
      </c>
      <c r="B13" s="5" t="s">
        <v>33</v>
      </c>
      <c r="C13" s="5" t="s">
        <v>34</v>
      </c>
      <c r="D13" s="4" t="s">
        <v>13</v>
      </c>
      <c r="E13" s="4">
        <v>1</v>
      </c>
      <c r="F13" s="6">
        <v>6800</v>
      </c>
      <c r="G13" s="6">
        <f>E13*F13</f>
        <v>6800</v>
      </c>
      <c r="H13" s="5" t="s">
        <v>35</v>
      </c>
    </row>
    <row r="14" spans="1:8" ht="78" customHeight="1">
      <c r="A14" s="4">
        <v>9</v>
      </c>
      <c r="B14" s="5" t="s">
        <v>36</v>
      </c>
      <c r="C14" s="5" t="s">
        <v>37</v>
      </c>
      <c r="D14" s="4" t="s">
        <v>13</v>
      </c>
      <c r="E14" s="4">
        <v>1</v>
      </c>
      <c r="F14" s="6">
        <v>3200</v>
      </c>
      <c r="G14" s="6">
        <f>E14*F14</f>
        <v>3200</v>
      </c>
      <c r="H14" s="5" t="s">
        <v>38</v>
      </c>
    </row>
    <row r="15" spans="1:8" ht="78" customHeight="1">
      <c r="A15" s="4">
        <v>10</v>
      </c>
      <c r="B15" s="5" t="s">
        <v>39</v>
      </c>
      <c r="C15" s="5" t="s">
        <v>40</v>
      </c>
      <c r="D15" s="4" t="s">
        <v>41</v>
      </c>
      <c r="E15" s="4">
        <v>36</v>
      </c>
      <c r="F15" s="6">
        <v>600</v>
      </c>
      <c r="G15" s="6">
        <f>E15*F15</f>
        <v>21600</v>
      </c>
      <c r="H15" s="5" t="s">
        <v>42</v>
      </c>
    </row>
    <row r="16" spans="1:8">
      <c r="A16" s="7" t="s">
        <v>43</v>
      </c>
      <c r="B16" s="7"/>
      <c r="C16" s="7"/>
      <c r="D16" s="7"/>
      <c r="E16" s="7"/>
      <c r="F16" s="7"/>
      <c r="G16" s="8">
        <f>SUM(G6:G15)</f>
        <v>79800</v>
      </c>
      <c r="H16" s="7" t="s">
        <v>44</v>
      </c>
    </row>
    <row r="17" spans="1:8">
      <c r="A17" s="7" t="s">
        <v>45</v>
      </c>
      <c r="B17" s="7"/>
      <c r="C17" s="7"/>
      <c r="D17" s="7"/>
      <c r="E17" s="7"/>
      <c r="F17" s="7"/>
      <c r="G17" s="7"/>
      <c r="H17" s="7"/>
    </row>
    <row r="19" spans="1:8">
      <c r="A19" s="9" t="s">
        <v>46</v>
      </c>
      <c r="B19" s="9"/>
      <c r="C19" s="9"/>
      <c r="D19" s="9"/>
      <c r="E19" s="9"/>
      <c r="F19" s="9"/>
      <c r="G19" s="9"/>
      <c r="H19" s="9"/>
    </row>
  </sheetData>
  <autoFilter ref="A5:H15"/>
  <mergeCells count="6">
    <mergeCell ref="A1:H1"/>
    <mergeCell ref="A2:H2"/>
    <mergeCell ref="A3:H3"/>
    <mergeCell ref="A16:F16"/>
    <mergeCell ref="A17:H17"/>
    <mergeCell ref="A19:H19"/>
  </mergeCells>
  <pageMargins left="0.3" right="0.3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/>
  </sheetViews>
  <sheetFormatPr defaultRowHeight="15"/>
  <cols>
    <col min="1" max="1" width="18.7109375" customWidth="1"/>
    <col min="2" max="2" width="96.7109375" customWidth="1"/>
  </cols>
  <sheetData>
    <row r="1" spans="1:2">
      <c r="A1" s="1" t="s">
        <v>47</v>
      </c>
      <c r="B1" s="1"/>
    </row>
    <row r="3" spans="1:2" ht="64" customHeight="1">
      <c r="A3" s="10" t="s">
        <v>48</v>
      </c>
      <c r="B3" s="5" t="s">
        <v>49</v>
      </c>
    </row>
    <row r="4" spans="1:2" ht="64" customHeight="1">
      <c r="A4" s="10" t="s">
        <v>50</v>
      </c>
      <c r="B4" s="5" t="s">
        <v>51</v>
      </c>
    </row>
    <row r="5" spans="1:2" ht="64" customHeight="1">
      <c r="A5" s="10" t="s">
        <v>52</v>
      </c>
      <c r="B5" s="5" t="s">
        <v>53</v>
      </c>
    </row>
    <row r="6" spans="1:2" ht="64" customHeight="1">
      <c r="A6" s="10" t="s">
        <v>54</v>
      </c>
      <c r="B6" s="5" t="s">
        <v>55</v>
      </c>
    </row>
    <row r="7" spans="1:2" ht="64" customHeight="1">
      <c r="A7" s="10" t="s">
        <v>56</v>
      </c>
      <c r="B7" s="5" t="s">
        <v>57</v>
      </c>
    </row>
    <row r="8" spans="1:2" ht="64" customHeight="1">
      <c r="A8" s="10" t="s">
        <v>58</v>
      </c>
      <c r="B8" s="5" t="s">
        <v>59</v>
      </c>
    </row>
    <row r="9" spans="1:2" ht="64" customHeight="1">
      <c r="A9" s="10" t="s">
        <v>60</v>
      </c>
      <c r="B9" s="5" t="s">
        <v>61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34.7109375" customWidth="1"/>
    <col min="3" max="3" width="86.7109375" customWidth="1"/>
    <col min="4" max="4" width="13.7109375" customWidth="1"/>
    <col min="5" max="5" width="28.7109375" customWidth="1"/>
  </cols>
  <sheetData>
    <row r="1" spans="1:5">
      <c r="A1" s="1" t="s">
        <v>62</v>
      </c>
      <c r="B1" s="1"/>
      <c r="C1" s="1"/>
      <c r="D1" s="1"/>
      <c r="E1" s="1"/>
    </row>
    <row r="2" spans="1:5" ht="28" customHeight="1">
      <c r="A2" s="3" t="s">
        <v>3</v>
      </c>
      <c r="B2" s="3" t="s">
        <v>63</v>
      </c>
      <c r="C2" s="3" t="s">
        <v>5</v>
      </c>
      <c r="D2" s="3" t="s">
        <v>64</v>
      </c>
      <c r="E2" s="3" t="s">
        <v>10</v>
      </c>
    </row>
    <row r="3" spans="1:5" ht="58" customHeight="1">
      <c r="A3" s="5" t="s">
        <v>65</v>
      </c>
      <c r="B3" s="5" t="s">
        <v>66</v>
      </c>
      <c r="C3" s="5" t="s">
        <v>12</v>
      </c>
      <c r="D3" s="5"/>
      <c r="E3" s="5"/>
    </row>
    <row r="4" spans="1:5" ht="58" customHeight="1">
      <c r="A4" s="5" t="s">
        <v>67</v>
      </c>
      <c r="B4" s="5" t="s">
        <v>68</v>
      </c>
      <c r="C4" s="5" t="s">
        <v>16</v>
      </c>
      <c r="D4" s="5"/>
      <c r="E4" s="5"/>
    </row>
    <row r="5" spans="1:5" ht="58" customHeight="1">
      <c r="A5" s="5" t="s">
        <v>69</v>
      </c>
      <c r="B5" s="5" t="s">
        <v>18</v>
      </c>
      <c r="C5" s="5" t="s">
        <v>19</v>
      </c>
      <c r="D5" s="5"/>
      <c r="E5" s="5"/>
    </row>
    <row r="6" spans="1:5" ht="58" customHeight="1">
      <c r="A6" s="5" t="s">
        <v>70</v>
      </c>
      <c r="B6" s="5" t="s">
        <v>21</v>
      </c>
      <c r="C6" s="5" t="s">
        <v>22</v>
      </c>
      <c r="D6" s="5"/>
      <c r="E6" s="5" t="s">
        <v>71</v>
      </c>
    </row>
    <row r="7" spans="1:5" ht="58" customHeight="1">
      <c r="A7" s="5" t="s">
        <v>72</v>
      </c>
      <c r="B7" s="5" t="s">
        <v>24</v>
      </c>
      <c r="C7" s="5" t="s">
        <v>25</v>
      </c>
      <c r="D7" s="5"/>
      <c r="E7" s="5"/>
    </row>
    <row r="8" spans="1:5" ht="58" customHeight="1">
      <c r="A8" s="5" t="s">
        <v>73</v>
      </c>
      <c r="B8" s="5" t="s">
        <v>27</v>
      </c>
      <c r="C8" s="5" t="s">
        <v>28</v>
      </c>
      <c r="D8" s="5"/>
      <c r="E8" s="5"/>
    </row>
    <row r="9" spans="1:5" ht="58" customHeight="1">
      <c r="A9" s="5" t="s">
        <v>74</v>
      </c>
      <c r="B9" s="5" t="s">
        <v>30</v>
      </c>
      <c r="C9" s="5" t="s">
        <v>31</v>
      </c>
      <c r="D9" s="5"/>
      <c r="E9" s="5"/>
    </row>
    <row r="10" spans="1:5" ht="58" customHeight="1">
      <c r="A10" s="5" t="s">
        <v>75</v>
      </c>
      <c r="B10" s="5" t="s">
        <v>33</v>
      </c>
      <c r="C10" s="5" t="s">
        <v>34</v>
      </c>
      <c r="D10" s="5"/>
      <c r="E10" s="5"/>
    </row>
    <row r="11" spans="1:5" ht="58" customHeight="1">
      <c r="A11" s="5" t="s">
        <v>76</v>
      </c>
      <c r="B11" s="5" t="s">
        <v>36</v>
      </c>
      <c r="C11" s="5" t="s">
        <v>37</v>
      </c>
      <c r="D11" s="5"/>
      <c r="E11" s="5"/>
    </row>
    <row r="12" spans="1:5" ht="58" customHeight="1">
      <c r="A12" s="5" t="s">
        <v>77</v>
      </c>
      <c r="B12" s="5" t="s">
        <v>77</v>
      </c>
      <c r="C12" s="5" t="s">
        <v>77</v>
      </c>
      <c r="D12" s="5" t="s">
        <v>77</v>
      </c>
      <c r="E12" s="5" t="s">
        <v>77</v>
      </c>
    </row>
    <row r="13" spans="1:5" ht="58" customHeight="1">
      <c r="A13" s="5" t="s">
        <v>78</v>
      </c>
      <c r="B13" s="5" t="s">
        <v>78</v>
      </c>
      <c r="C13" s="5" t="s">
        <v>78</v>
      </c>
      <c r="D13" s="5" t="s">
        <v>78</v>
      </c>
      <c r="E13" s="5" t="s">
        <v>78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showGridLines="0" workbookViewId="0"/>
  </sheetViews>
  <sheetFormatPr defaultRowHeight="15"/>
  <cols>
    <col min="1" max="1" width="18.7109375" customWidth="1"/>
    <col min="2" max="11" width="16.7109375" customWidth="1"/>
  </cols>
  <sheetData>
    <row r="1" spans="1:1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</row>
  </sheetData>
  <mergeCells count="2">
    <mergeCell ref="A1:K1"/>
    <mergeCell ref="A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报价清单</vt:lpstr>
      <vt:lpstr>编制说明</vt:lpstr>
      <vt:lpstr>BIM清单摘录</vt:lpstr>
      <vt:lpstr>总平面图参考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BIM应用报价清单</dc:title>
  <dc:subject>总价控制在8万元以内</dc:subject>
  <dc:creator>Codex</dc:creator>
  <dc:description>Based on BIM清单.docx and 总平面图.pdf</dc:description>
  <cp:lastModifiedBy>Codex</cp:lastModifiedBy>
  <dcterms:created xsi:type="dcterms:W3CDTF">2026-06-24T07:21:50Z</dcterms:created>
  <dcterms:modified xsi:type="dcterms:W3CDTF">2026-06-24T07:21:50Z</dcterms:modified>
</cp:coreProperties>
</file>